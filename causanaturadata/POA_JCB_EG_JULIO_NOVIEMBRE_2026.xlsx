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f7b170abb81e7f6a/Documentos/JCB INFORMATION/CAUSA NATURA_GNL_PESCA_ARTESANAL/INFORME AVANCE 1 DE 3/"/>
    </mc:Choice>
  </mc:AlternateContent>
  <xr:revisionPtr revIDLastSave="3" documentId="8_{7359E4D0-6AB7-49F2-B61E-BDFF25637F8A}" xr6:coauthVersionLast="36" xr6:coauthVersionMax="36" xr10:uidLastSave="{A61AFCD3-A9F8-4A2F-808B-66BFE52FB319}"/>
  <bookViews>
    <workbookView xWindow="0" yWindow="0" windowWidth="20490" windowHeight="6930" xr2:uid="{00000000-000D-0000-FFFF-FFFF00000000}"/>
  </bookViews>
  <sheets>
    <sheet name="POA Simplificado 2026" sheetId="1" r:id="rId1"/>
  </sheets>
  <calcPr calcId="191029"/>
</workbook>
</file>

<file path=xl/calcChain.xml><?xml version="1.0" encoding="utf-8"?>
<calcChain xmlns="http://schemas.openxmlformats.org/spreadsheetml/2006/main">
  <c r="M29" i="1" l="1"/>
</calcChain>
</file>

<file path=xl/sharedStrings.xml><?xml version="1.0" encoding="utf-8"?>
<sst xmlns="http://schemas.openxmlformats.org/spreadsheetml/2006/main" count="144" uniqueCount="86">
  <si>
    <t>PLAN OPERATIVO ANUAL (POA) SIMPLIFICADO POR META — PROYECTO IERC 2026</t>
  </si>
  <si>
    <t>Matriz optimizada por Meta y Actividad (Sin redundancias) | Plan Ajustado JCB - EG</t>
  </si>
  <si>
    <t>Meta</t>
  </si>
  <si>
    <t>Resultado</t>
  </si>
  <si>
    <t>Indicador (resultado)</t>
  </si>
  <si>
    <t>Para cuando</t>
  </si>
  <si>
    <t>Producto</t>
  </si>
  <si>
    <t>Indicador (producto)</t>
  </si>
  <si>
    <t>Responsable</t>
  </si>
  <si>
    <t>Actividades</t>
  </si>
  <si>
    <t>Desde (fecha)</t>
  </si>
  <si>
    <t>Hasta (fecha)</t>
  </si>
  <si>
    <t>Horas estimadas</t>
  </si>
  <si>
    <t>Meta 1: Diseño e Instrumentación Metodológica y Repositorio SIG</t>
  </si>
  <si>
    <t>Estructura conceptual y espacial validada para la medición del riesgo (IERC) e instrumentos piloteados</t>
  </si>
  <si>
    <t>1 Nota Metodológica ajustada + 1 Repositorio GeoPackage + 1 Protocolo de campo aprobado</t>
  </si>
  <si>
    <t>19/08/2026</t>
  </si>
  <si>
    <t>Nota Metodológica, GeoPackage e Instrumentos Piloto (Formatos, encuestas y mapas base)</t>
  </si>
  <si>
    <t>100% de instrumentos diseñados y 1 GeoPackage estandarizado con capas base GNL/ambientales</t>
  </si>
  <si>
    <t>JCB / EG</t>
  </si>
  <si>
    <t>Reunión inicial, ajuste metodológico (unidad 'comunidad-actor-pesquería-arte-zona-temporada-ruta') y reglas de confidencialidad</t>
  </si>
  <si>
    <t>23/07/2026</t>
  </si>
  <si>
    <t>29/07/2026</t>
  </si>
  <si>
    <t>JCB</t>
  </si>
  <si>
    <t>Creación de repositorio GeoPackage, sistema de coordenadas, nomenclatura y metadatos</t>
  </si>
  <si>
    <t>EG</t>
  </si>
  <si>
    <t>Revisión de literatura histórica (PANGAS, calendarios) y compilación de capas base en gabinete (GNL, batimetría, ANP, ductos)</t>
  </si>
  <si>
    <t>30/07/2026</t>
  </si>
  <si>
    <t>05/08/2026</t>
  </si>
  <si>
    <t>Revisión de consistencia biológico-pesquera y matriz explícita de calendarios históricos</t>
  </si>
  <si>
    <t>Diseño de encuestas, entrevistas, guías de cartografía participativa, calendarios quincenales y formato de costo/viaje</t>
  </si>
  <si>
    <t>06/08/2026</t>
  </si>
  <si>
    <t>12/08/2026</t>
  </si>
  <si>
    <t>Preparación de mapas base a varias escalas, georreferenciación de infraestructura GNL y plantillas de digitalización</t>
  </si>
  <si>
    <t>Pilotaje de instrumentos con informantes clave y calibración de listas de especies, artes y preguntas de gobernanza/género</t>
  </si>
  <si>
    <t>13/08/2026</t>
  </si>
  <si>
    <t>Ajuste final de mapas, formularios y plantillas SIG post-pilotaje</t>
  </si>
  <si>
    <t>Meta 2: Levantamiento de Campo Socioambiental y Base Georreferenciada (Producto 1)</t>
  </si>
  <si>
    <t>Base primaria espacio-temporal de pesca en las 3 localidades integrada en SIG y Atlas Pesquero Preliminar</t>
  </si>
  <si>
    <t>3 Bases de datos comunitarias digitalizadas + 1 Atlas Pesquero Preliminar con cuadrícula de hexágonos</t>
  </si>
  <si>
    <t>16/09/2026</t>
  </si>
  <si>
    <t>Producto 1: Base Georreferenciada e Inventario Espacio-Temporal + Grilla de Análisis</t>
  </si>
  <si>
    <t>1 Base espacial maestra en GeoPackage con polígonos de zonas primarias/secundarias, rutas y calendarios</t>
  </si>
  <si>
    <t>Campo en Punta Chueca: entrevistas, cartografía intercultural Comca'ac, calendarios, gobernanza, género y sitios bioculturales</t>
  </si>
  <si>
    <t>20/08/2026</t>
  </si>
  <si>
    <t>26/08/2026</t>
  </si>
  <si>
    <t>Digitalización e ingesta inmediata de mapas y rutas de Punta Chueca en SIG</t>
  </si>
  <si>
    <t>Campo en Puerto Libertad: zonas primarias/secundarias, rutas, costos, estacionalidad e interacción con infraestructura GNL</t>
  </si>
  <si>
    <t>27/08/2026</t>
  </si>
  <si>
    <t>02/09/2026</t>
  </si>
  <si>
    <t>Digitalización de polígonos de Puerto Libertad y superposición inicial con obras, ductos, fondeaderos y tráfico GNL</t>
  </si>
  <si>
    <t>Campo en Guaymas: cooperativas, barrios pesqueros, desembarques, rutas portuarias y cadenas de valor</t>
  </si>
  <si>
    <t>03/09/2026</t>
  </si>
  <si>
    <t>09/09/2026</t>
  </si>
  <si>
    <t>Digitalización de polígonos y rutas de Guaymas y segmentación de subzonas pesqueras/portuarias</t>
  </si>
  <si>
    <t>Sistematización de entrevistas, triangulación de información campo vs gabinete y selección final de indicadores</t>
  </si>
  <si>
    <t>10/09/2026</t>
  </si>
  <si>
    <t>Construcción de cuadrícula de hexágonos (1 km² mar / 250-500 m puerto) e integración del Atlas Pesquero Preliminar</t>
  </si>
  <si>
    <t>Meta 3: Modelación Espacial, Cálculo del IERC y Validación (Productos 2 y 3)</t>
  </si>
  <si>
    <t>Modelo del IERC calculado por celda, temporada y escenario, validado en talleres comunitarios y con mapa de confianza</t>
  </si>
  <si>
    <t>1 Índice IERC operado + 1 Protocolo de Validación en 3 localidades + 1 Mapa de Confianza del Dato</t>
  </si>
  <si>
    <t>30/09/2026</t>
  </si>
  <si>
    <t>Producto 2: Índice IERC y Producto 3: Material Gráfico, Atlas y Mapa de Confianza</t>
  </si>
  <si>
    <t>Algoritmos SIG ejecutados (R_it y R*_it), mapas de riesgo por quincena y calibración post-validación</t>
  </si>
  <si>
    <t>EG / JCB</t>
  </si>
  <si>
    <t>Cálculo de variables espaciales, normalización, ponderaciones expertas y ejecución de fórmulas del índice (R_it y R*_it)</t>
  </si>
  <si>
    <t>17/09/2026</t>
  </si>
  <si>
    <t>23/09/2026</t>
  </si>
  <si>
    <t>Interpretación de resultados; revisión de consistencia pesquera, socioeconómica, género y significancia cultural</t>
  </si>
  <si>
    <t>Talleres comunitarios y sesiones de validación pesquera e intercultural en Punta Chueca, Puerto Libertad y Guaymas</t>
  </si>
  <si>
    <t>24/09/2026</t>
  </si>
  <si>
    <t>Ajuste del índice tras validación, análisis de sensibilidad y generación del Mapa de Confianza/Calidad del Dato</t>
  </si>
  <si>
    <t>Meta 4: Informe Final, Recomendaciones de Mitigación y Difusión (Productos 4 y 5)</t>
  </si>
  <si>
    <t>Diagnóstico integral con medidas de mitigación y estrategia de difusión diferenciada por sector de actores clave</t>
  </si>
  <si>
    <t>1 Resumen Ejecutivo (Producto 4) + 1 Estrategia de Difusión + 1 Paquete Master de Entregables (Producto 5)</t>
  </si>
  <si>
    <t>15/10/2026</t>
  </si>
  <si>
    <t>Producto 4: Resumen Ejecutivo y Producto 5: Estrategia de Difusión y Repositorio Final Master</t>
  </si>
  <si>
    <t>Documento final integrando vías causales, salvaguardas Comca'ac, género, cartografía formal y repositorio completo</t>
  </si>
  <si>
    <t>Redacción de hallazgos, recomendaciones de política pública, medidas de mitigación y gobernanza para el Resumen Ejecutivo</t>
  </si>
  <si>
    <t>01/10/2026</t>
  </si>
  <si>
    <t>07/10/2026</t>
  </si>
  <si>
    <t>Producción de cartografía final formal, gráficos de sensibilidad, diagramas de cadenas de valor y perfiles comparativos</t>
  </si>
  <si>
    <t>Diseño de la estrategia diferenciada de difusión e incidencia por actor clave (pescadores, autoridades Comca'ac, GNL, gobierno)</t>
  </si>
  <si>
    <t>08/10/2026</t>
  </si>
  <si>
    <t>Empaquetado técnico final del GeoPackage master, base de datos, metadatos, mapas de alta resolución e infografías</t>
  </si>
  <si>
    <t>TOTAL HORAS PROGRAMADAS EN POA (JCB: 480 h | EG: 355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</si>
</sst>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1F4E78"/>
      <name val="Calibri"/>
    </font>
    <font>
      <b/>
      <sz val="12"/>
      <color rgb="FF1F4E78"/>
      <name val="Calibri"/>
      <family val="2"/>
    </font>
    <font>
      <sz val="12"/>
      <color theme="1"/>
      <name val="Calibri"/>
      <family val="2"/>
      <scheme val="minor"/>
    </font>
    <font>
      <i/>
      <sz val="12"/>
      <color rgb="FF595959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1" fillId="4" borderId="4" xfId="0" applyNumberFormat="1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0" fontId="0" fillId="4" borderId="4" xfId="0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0" fontId="3" fillId="0" borderId="2" xfId="0" applyFont="1" applyBorder="1"/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9"/>
  <sheetViews>
    <sheetView tabSelected="1" zoomScale="60" zoomScaleNormal="60" workbookViewId="0">
      <selection activeCell="H5" sqref="H5:H12"/>
    </sheetView>
  </sheetViews>
  <sheetFormatPr baseColWidth="10" defaultColWidth="9.140625" defaultRowHeight="15" x14ac:dyDescent="0.25"/>
  <cols>
    <col min="1" max="1" width="28" customWidth="1"/>
    <col min="2" max="3" width="26" customWidth="1"/>
    <col min="4" max="4" width="13" hidden="1" customWidth="1"/>
    <col min="5" max="6" width="26" customWidth="1"/>
    <col min="7" max="7" width="13" customWidth="1"/>
    <col min="8" max="8" width="20" customWidth="1"/>
    <col min="9" max="9" width="40" hidden="1" customWidth="1"/>
    <col min="10" max="10" width="16.140625" hidden="1" customWidth="1"/>
    <col min="11" max="11" width="13" hidden="1" customWidth="1"/>
    <col min="12" max="12" width="20" customWidth="1"/>
    <col min="13" max="13" width="15" customWidth="1"/>
  </cols>
  <sheetData>
    <row r="1" spans="1:13" ht="15.75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.75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5.7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32.25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5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8</v>
      </c>
      <c r="M4" s="7" t="s">
        <v>12</v>
      </c>
    </row>
    <row r="5" spans="1:13" ht="63" x14ac:dyDescent="0.25">
      <c r="A5" s="8" t="s">
        <v>13</v>
      </c>
      <c r="B5" s="8" t="s">
        <v>14</v>
      </c>
      <c r="C5" s="8" t="s">
        <v>15</v>
      </c>
      <c r="D5" s="9" t="s">
        <v>16</v>
      </c>
      <c r="E5" s="8" t="s">
        <v>17</v>
      </c>
      <c r="F5" s="8" t="s">
        <v>18</v>
      </c>
      <c r="G5" s="9" t="s">
        <v>16</v>
      </c>
      <c r="H5" s="10" t="s">
        <v>19</v>
      </c>
      <c r="I5" s="11" t="s">
        <v>20</v>
      </c>
      <c r="J5" s="12" t="s">
        <v>21</v>
      </c>
      <c r="K5" s="12" t="s">
        <v>22</v>
      </c>
      <c r="L5" s="12" t="s">
        <v>23</v>
      </c>
      <c r="M5" s="13">
        <v>15</v>
      </c>
    </row>
    <row r="6" spans="1:13" ht="47.25" x14ac:dyDescent="0.25">
      <c r="A6" s="14"/>
      <c r="B6" s="14"/>
      <c r="C6" s="14"/>
      <c r="D6" s="14"/>
      <c r="E6" s="14"/>
      <c r="F6" s="14"/>
      <c r="G6" s="14"/>
      <c r="H6" s="14"/>
      <c r="I6" s="15" t="s">
        <v>24</v>
      </c>
      <c r="J6" s="16" t="s">
        <v>21</v>
      </c>
      <c r="K6" s="16" t="s">
        <v>22</v>
      </c>
      <c r="L6" s="16" t="s">
        <v>25</v>
      </c>
      <c r="M6" s="17">
        <v>10</v>
      </c>
    </row>
    <row r="7" spans="1:13" ht="63" x14ac:dyDescent="0.25">
      <c r="A7" s="14"/>
      <c r="B7" s="14"/>
      <c r="C7" s="14"/>
      <c r="D7" s="14"/>
      <c r="E7" s="14"/>
      <c r="F7" s="14"/>
      <c r="G7" s="14"/>
      <c r="H7" s="14"/>
      <c r="I7" s="11" t="s">
        <v>26</v>
      </c>
      <c r="J7" s="12" t="s">
        <v>27</v>
      </c>
      <c r="K7" s="12" t="s">
        <v>28</v>
      </c>
      <c r="L7" s="12" t="s">
        <v>25</v>
      </c>
      <c r="M7" s="13">
        <v>40</v>
      </c>
    </row>
    <row r="8" spans="1:13" ht="47.25" x14ac:dyDescent="0.25">
      <c r="A8" s="14"/>
      <c r="B8" s="14"/>
      <c r="C8" s="14"/>
      <c r="D8" s="14"/>
      <c r="E8" s="14"/>
      <c r="F8" s="14"/>
      <c r="G8" s="14"/>
      <c r="H8" s="14"/>
      <c r="I8" s="15" t="s">
        <v>29</v>
      </c>
      <c r="J8" s="16" t="s">
        <v>27</v>
      </c>
      <c r="K8" s="16" t="s">
        <v>28</v>
      </c>
      <c r="L8" s="16" t="s">
        <v>23</v>
      </c>
      <c r="M8" s="17">
        <v>10</v>
      </c>
    </row>
    <row r="9" spans="1:13" ht="47.25" x14ac:dyDescent="0.25">
      <c r="A9" s="14"/>
      <c r="B9" s="14"/>
      <c r="C9" s="14"/>
      <c r="D9" s="14"/>
      <c r="E9" s="14"/>
      <c r="F9" s="14"/>
      <c r="G9" s="14"/>
      <c r="H9" s="14"/>
      <c r="I9" s="11" t="s">
        <v>30</v>
      </c>
      <c r="J9" s="12" t="s">
        <v>31</v>
      </c>
      <c r="K9" s="12" t="s">
        <v>32</v>
      </c>
      <c r="L9" s="12" t="s">
        <v>23</v>
      </c>
      <c r="M9" s="13">
        <v>20</v>
      </c>
    </row>
    <row r="10" spans="1:13" ht="63" x14ac:dyDescent="0.25">
      <c r="A10" s="14"/>
      <c r="B10" s="14"/>
      <c r="C10" s="14"/>
      <c r="D10" s="14"/>
      <c r="E10" s="14"/>
      <c r="F10" s="14"/>
      <c r="G10" s="14"/>
      <c r="H10" s="14"/>
      <c r="I10" s="15" t="s">
        <v>33</v>
      </c>
      <c r="J10" s="16" t="s">
        <v>31</v>
      </c>
      <c r="K10" s="16" t="s">
        <v>32</v>
      </c>
      <c r="L10" s="16" t="s">
        <v>25</v>
      </c>
      <c r="M10" s="17">
        <v>10</v>
      </c>
    </row>
    <row r="11" spans="1:13" ht="47.25" x14ac:dyDescent="0.25">
      <c r="A11" s="14"/>
      <c r="B11" s="14"/>
      <c r="C11" s="14"/>
      <c r="D11" s="14"/>
      <c r="E11" s="14"/>
      <c r="F11" s="14"/>
      <c r="G11" s="14"/>
      <c r="H11" s="14"/>
      <c r="I11" s="11" t="s">
        <v>34</v>
      </c>
      <c r="J11" s="12" t="s">
        <v>35</v>
      </c>
      <c r="K11" s="12" t="s">
        <v>16</v>
      </c>
      <c r="L11" s="12" t="s">
        <v>23</v>
      </c>
      <c r="M11" s="13">
        <v>15</v>
      </c>
    </row>
    <row r="12" spans="1:13" ht="31.5" x14ac:dyDescent="0.25">
      <c r="A12" s="18"/>
      <c r="B12" s="18"/>
      <c r="C12" s="18"/>
      <c r="D12" s="18"/>
      <c r="E12" s="18"/>
      <c r="F12" s="18"/>
      <c r="G12" s="18"/>
      <c r="H12" s="18"/>
      <c r="I12" s="15" t="s">
        <v>36</v>
      </c>
      <c r="J12" s="16" t="s">
        <v>35</v>
      </c>
      <c r="K12" s="16" t="s">
        <v>16</v>
      </c>
      <c r="L12" s="16" t="s">
        <v>25</v>
      </c>
      <c r="M12" s="17">
        <v>5</v>
      </c>
    </row>
    <row r="13" spans="1:13" ht="63" x14ac:dyDescent="0.25">
      <c r="A13" s="8" t="s">
        <v>37</v>
      </c>
      <c r="B13" s="8" t="s">
        <v>38</v>
      </c>
      <c r="C13" s="8" t="s">
        <v>39</v>
      </c>
      <c r="D13" s="9" t="s">
        <v>40</v>
      </c>
      <c r="E13" s="8" t="s">
        <v>41</v>
      </c>
      <c r="F13" s="8" t="s">
        <v>42</v>
      </c>
      <c r="G13" s="9" t="s">
        <v>40</v>
      </c>
      <c r="H13" s="10" t="s">
        <v>19</v>
      </c>
      <c r="I13" s="11" t="s">
        <v>43</v>
      </c>
      <c r="J13" s="12" t="s">
        <v>44</v>
      </c>
      <c r="K13" s="12" t="s">
        <v>45</v>
      </c>
      <c r="L13" s="12" t="s">
        <v>23</v>
      </c>
      <c r="M13" s="13">
        <v>40</v>
      </c>
    </row>
    <row r="14" spans="1:13" ht="31.5" x14ac:dyDescent="0.25">
      <c r="A14" s="14"/>
      <c r="B14" s="14"/>
      <c r="C14" s="14"/>
      <c r="D14" s="14"/>
      <c r="E14" s="14"/>
      <c r="F14" s="14"/>
      <c r="G14" s="14"/>
      <c r="H14" s="14"/>
      <c r="I14" s="15" t="s">
        <v>46</v>
      </c>
      <c r="J14" s="16" t="s">
        <v>44</v>
      </c>
      <c r="K14" s="16" t="s">
        <v>45</v>
      </c>
      <c r="L14" s="16" t="s">
        <v>25</v>
      </c>
      <c r="M14" s="17">
        <v>10</v>
      </c>
    </row>
    <row r="15" spans="1:13" ht="63" x14ac:dyDescent="0.25">
      <c r="A15" s="14"/>
      <c r="B15" s="14"/>
      <c r="C15" s="14"/>
      <c r="D15" s="14"/>
      <c r="E15" s="14"/>
      <c r="F15" s="14"/>
      <c r="G15" s="14"/>
      <c r="H15" s="14"/>
      <c r="I15" s="11" t="s">
        <v>47</v>
      </c>
      <c r="J15" s="12" t="s">
        <v>48</v>
      </c>
      <c r="K15" s="12" t="s">
        <v>49</v>
      </c>
      <c r="L15" s="12" t="s">
        <v>23</v>
      </c>
      <c r="M15" s="13">
        <v>40</v>
      </c>
    </row>
    <row r="16" spans="1:13" ht="47.25" x14ac:dyDescent="0.25">
      <c r="A16" s="14"/>
      <c r="B16" s="14"/>
      <c r="C16" s="14"/>
      <c r="D16" s="14"/>
      <c r="E16" s="14"/>
      <c r="F16" s="14"/>
      <c r="G16" s="14"/>
      <c r="H16" s="14"/>
      <c r="I16" s="15" t="s">
        <v>50</v>
      </c>
      <c r="J16" s="16" t="s">
        <v>48</v>
      </c>
      <c r="K16" s="16" t="s">
        <v>49</v>
      </c>
      <c r="L16" s="16" t="s">
        <v>25</v>
      </c>
      <c r="M16" s="17">
        <v>10</v>
      </c>
    </row>
    <row r="17" spans="1:13" ht="47.25" x14ac:dyDescent="0.25">
      <c r="A17" s="14"/>
      <c r="B17" s="14"/>
      <c r="C17" s="14"/>
      <c r="D17" s="14"/>
      <c r="E17" s="14"/>
      <c r="F17" s="14"/>
      <c r="G17" s="14"/>
      <c r="H17" s="14"/>
      <c r="I17" s="11" t="s">
        <v>51</v>
      </c>
      <c r="J17" s="12" t="s">
        <v>52</v>
      </c>
      <c r="K17" s="12" t="s">
        <v>53</v>
      </c>
      <c r="L17" s="12" t="s">
        <v>23</v>
      </c>
      <c r="M17" s="13">
        <v>40</v>
      </c>
    </row>
    <row r="18" spans="1:13" ht="47.25" x14ac:dyDescent="0.25">
      <c r="A18" s="14"/>
      <c r="B18" s="14"/>
      <c r="C18" s="14"/>
      <c r="D18" s="14"/>
      <c r="E18" s="14"/>
      <c r="F18" s="14"/>
      <c r="G18" s="14"/>
      <c r="H18" s="14"/>
      <c r="I18" s="15" t="s">
        <v>54</v>
      </c>
      <c r="J18" s="16" t="s">
        <v>52</v>
      </c>
      <c r="K18" s="16" t="s">
        <v>53</v>
      </c>
      <c r="L18" s="16" t="s">
        <v>25</v>
      </c>
      <c r="M18" s="17">
        <v>10</v>
      </c>
    </row>
    <row r="19" spans="1:13" ht="47.25" x14ac:dyDescent="0.25">
      <c r="A19" s="14"/>
      <c r="B19" s="14"/>
      <c r="C19" s="14"/>
      <c r="D19" s="14"/>
      <c r="E19" s="14"/>
      <c r="F19" s="14"/>
      <c r="G19" s="14"/>
      <c r="H19" s="14"/>
      <c r="I19" s="11" t="s">
        <v>55</v>
      </c>
      <c r="J19" s="12" t="s">
        <v>56</v>
      </c>
      <c r="K19" s="12" t="s">
        <v>40</v>
      </c>
      <c r="L19" s="12" t="s">
        <v>23</v>
      </c>
      <c r="M19" s="13">
        <v>30</v>
      </c>
    </row>
    <row r="20" spans="1:13" ht="63" x14ac:dyDescent="0.25">
      <c r="A20" s="18"/>
      <c r="B20" s="18"/>
      <c r="C20" s="18"/>
      <c r="D20" s="18"/>
      <c r="E20" s="18"/>
      <c r="F20" s="18"/>
      <c r="G20" s="18"/>
      <c r="H20" s="18"/>
      <c r="I20" s="15" t="s">
        <v>57</v>
      </c>
      <c r="J20" s="16" t="s">
        <v>56</v>
      </c>
      <c r="K20" s="16" t="s">
        <v>40</v>
      </c>
      <c r="L20" s="16" t="s">
        <v>25</v>
      </c>
      <c r="M20" s="17">
        <v>55</v>
      </c>
    </row>
    <row r="21" spans="1:13" ht="63" x14ac:dyDescent="0.25">
      <c r="A21" s="8" t="s">
        <v>58</v>
      </c>
      <c r="B21" s="8" t="s">
        <v>59</v>
      </c>
      <c r="C21" s="8" t="s">
        <v>60</v>
      </c>
      <c r="D21" s="9" t="s">
        <v>61</v>
      </c>
      <c r="E21" s="8" t="s">
        <v>62</v>
      </c>
      <c r="F21" s="8" t="s">
        <v>63</v>
      </c>
      <c r="G21" s="9" t="s">
        <v>61</v>
      </c>
      <c r="H21" s="10" t="s">
        <v>64</v>
      </c>
      <c r="I21" s="11" t="s">
        <v>65</v>
      </c>
      <c r="J21" s="12" t="s">
        <v>66</v>
      </c>
      <c r="K21" s="12" t="s">
        <v>67</v>
      </c>
      <c r="L21" s="12" t="s">
        <v>25</v>
      </c>
      <c r="M21" s="13">
        <v>75</v>
      </c>
    </row>
    <row r="22" spans="1:13" ht="47.25" x14ac:dyDescent="0.25">
      <c r="A22" s="14"/>
      <c r="B22" s="14"/>
      <c r="C22" s="14"/>
      <c r="D22" s="14"/>
      <c r="E22" s="14"/>
      <c r="F22" s="14"/>
      <c r="G22" s="14"/>
      <c r="H22" s="14"/>
      <c r="I22" s="15" t="s">
        <v>68</v>
      </c>
      <c r="J22" s="16" t="s">
        <v>66</v>
      </c>
      <c r="K22" s="16" t="s">
        <v>67</v>
      </c>
      <c r="L22" s="16" t="s">
        <v>23</v>
      </c>
      <c r="M22" s="17">
        <v>35</v>
      </c>
    </row>
    <row r="23" spans="1:13" ht="63" x14ac:dyDescent="0.25">
      <c r="A23" s="14"/>
      <c r="B23" s="14"/>
      <c r="C23" s="14"/>
      <c r="D23" s="14"/>
      <c r="E23" s="14"/>
      <c r="F23" s="14"/>
      <c r="G23" s="14"/>
      <c r="H23" s="14"/>
      <c r="I23" s="11" t="s">
        <v>69</v>
      </c>
      <c r="J23" s="12" t="s">
        <v>70</v>
      </c>
      <c r="K23" s="12" t="s">
        <v>61</v>
      </c>
      <c r="L23" s="12" t="s">
        <v>23</v>
      </c>
      <c r="M23" s="13">
        <v>40</v>
      </c>
    </row>
    <row r="24" spans="1:13" ht="47.25" x14ac:dyDescent="0.25">
      <c r="A24" s="18"/>
      <c r="B24" s="18"/>
      <c r="C24" s="18"/>
      <c r="D24" s="18"/>
      <c r="E24" s="18"/>
      <c r="F24" s="18"/>
      <c r="G24" s="18"/>
      <c r="H24" s="18"/>
      <c r="I24" s="15" t="s">
        <v>71</v>
      </c>
      <c r="J24" s="16" t="s">
        <v>70</v>
      </c>
      <c r="K24" s="16" t="s">
        <v>61</v>
      </c>
      <c r="L24" s="16" t="s">
        <v>25</v>
      </c>
      <c r="M24" s="17">
        <v>45</v>
      </c>
    </row>
    <row r="25" spans="1:13" ht="63" x14ac:dyDescent="0.25">
      <c r="A25" s="8" t="s">
        <v>72</v>
      </c>
      <c r="B25" s="8" t="s">
        <v>73</v>
      </c>
      <c r="C25" s="8" t="s">
        <v>74</v>
      </c>
      <c r="D25" s="9" t="s">
        <v>75</v>
      </c>
      <c r="E25" s="8" t="s">
        <v>76</v>
      </c>
      <c r="F25" s="8" t="s">
        <v>77</v>
      </c>
      <c r="G25" s="9" t="s">
        <v>75</v>
      </c>
      <c r="H25" s="10" t="s">
        <v>19</v>
      </c>
      <c r="I25" s="11" t="s">
        <v>78</v>
      </c>
      <c r="J25" s="12" t="s">
        <v>79</v>
      </c>
      <c r="K25" s="12" t="s">
        <v>80</v>
      </c>
      <c r="L25" s="12" t="s">
        <v>23</v>
      </c>
      <c r="M25" s="13">
        <v>70</v>
      </c>
    </row>
    <row r="26" spans="1:13" ht="47.25" x14ac:dyDescent="0.25">
      <c r="A26" s="14"/>
      <c r="B26" s="14"/>
      <c r="C26" s="14"/>
      <c r="D26" s="14"/>
      <c r="E26" s="14"/>
      <c r="F26" s="14"/>
      <c r="G26" s="14"/>
      <c r="H26" s="14"/>
      <c r="I26" s="15" t="s">
        <v>81</v>
      </c>
      <c r="J26" s="16" t="s">
        <v>79</v>
      </c>
      <c r="K26" s="16" t="s">
        <v>80</v>
      </c>
      <c r="L26" s="16" t="s">
        <v>25</v>
      </c>
      <c r="M26" s="17">
        <v>35</v>
      </c>
    </row>
    <row r="27" spans="1:13" ht="63" x14ac:dyDescent="0.25">
      <c r="A27" s="14"/>
      <c r="B27" s="14"/>
      <c r="C27" s="14"/>
      <c r="D27" s="14"/>
      <c r="E27" s="14"/>
      <c r="F27" s="14"/>
      <c r="G27" s="14"/>
      <c r="H27" s="14"/>
      <c r="I27" s="11" t="s">
        <v>82</v>
      </c>
      <c r="J27" s="12" t="s">
        <v>83</v>
      </c>
      <c r="K27" s="12" t="s">
        <v>75</v>
      </c>
      <c r="L27" s="12" t="s">
        <v>23</v>
      </c>
      <c r="M27" s="13">
        <v>15</v>
      </c>
    </row>
    <row r="28" spans="1:13" ht="63" x14ac:dyDescent="0.25">
      <c r="A28" s="18"/>
      <c r="B28" s="18"/>
      <c r="C28" s="18"/>
      <c r="D28" s="18"/>
      <c r="E28" s="18"/>
      <c r="F28" s="18"/>
      <c r="G28" s="18"/>
      <c r="H28" s="18"/>
      <c r="I28" s="15" t="s">
        <v>84</v>
      </c>
      <c r="J28" s="16" t="s">
        <v>83</v>
      </c>
      <c r="K28" s="16" t="s">
        <v>75</v>
      </c>
      <c r="L28" s="16" t="s">
        <v>25</v>
      </c>
      <c r="M28" s="17">
        <v>20</v>
      </c>
    </row>
    <row r="29" spans="1:13" ht="32.25" hidden="1" customHeight="1" x14ac:dyDescent="0.25">
      <c r="A29" s="2" t="s">
        <v>85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1">
        <f>SUM(M5:M28)</f>
        <v>695</v>
      </c>
    </row>
  </sheetData>
  <mergeCells count="33">
    <mergeCell ref="A29:L29"/>
    <mergeCell ref="D13:D20"/>
    <mergeCell ref="D25:D28"/>
    <mergeCell ref="E25:E28"/>
    <mergeCell ref="G5:G12"/>
    <mergeCell ref="G25:G28"/>
    <mergeCell ref="B13:B20"/>
    <mergeCell ref="F13:F20"/>
    <mergeCell ref="B25:B28"/>
    <mergeCell ref="H13:H20"/>
    <mergeCell ref="A5:A12"/>
    <mergeCell ref="E21:E24"/>
    <mergeCell ref="G21:G24"/>
    <mergeCell ref="B5:B12"/>
    <mergeCell ref="A13:A20"/>
    <mergeCell ref="A25:A28"/>
    <mergeCell ref="F21:F24"/>
    <mergeCell ref="H21:H24"/>
    <mergeCell ref="C25:C28"/>
    <mergeCell ref="C5:C12"/>
    <mergeCell ref="A21:A24"/>
    <mergeCell ref="E5:E12"/>
    <mergeCell ref="C21:C24"/>
    <mergeCell ref="F5:F12"/>
    <mergeCell ref="E13:E20"/>
    <mergeCell ref="G13:G20"/>
    <mergeCell ref="D5:D12"/>
    <mergeCell ref="C13:C20"/>
    <mergeCell ref="F25:F28"/>
    <mergeCell ref="H25:H28"/>
    <mergeCell ref="B21:B24"/>
    <mergeCell ref="D21:D24"/>
    <mergeCell ref="H5:H12"/>
  </mergeCells>
  <pageMargins left="0.23622047244094491" right="0.23622047244094491" top="0.74803149606299213" bottom="0.74803149606299213" header="0.31496062992125984" footer="0.31496062992125984"/>
  <pageSetup scale="67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POA Simplificado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Barrera G.</cp:lastModifiedBy>
  <cp:lastPrinted>2026-07-26T02:14:29Z</cp:lastPrinted>
  <dcterms:created xsi:type="dcterms:W3CDTF">2026-07-26T01:49:57Z</dcterms:created>
  <dcterms:modified xsi:type="dcterms:W3CDTF">2026-07-26T02:14:41Z</dcterms:modified>
</cp:coreProperties>
</file>